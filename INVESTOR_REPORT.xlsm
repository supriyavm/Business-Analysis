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rty\Desktop\Agile\"/>
    </mc:Choice>
  </mc:AlternateContent>
  <xr:revisionPtr revIDLastSave="0" documentId="13_ncr:1_{DF8AB2ED-2416-4C6A-8C53-0D7CB73E18B7}" xr6:coauthVersionLast="44" xr6:coauthVersionMax="44" xr10:uidLastSave="{00000000-0000-0000-0000-000000000000}"/>
  <bookViews>
    <workbookView xWindow="-110" yWindow="-110" windowWidth="19420" windowHeight="10420" activeTab="2" xr2:uid="{00000000-000D-0000-FFFF-FFFF00000000}"/>
  </bookViews>
  <sheets>
    <sheet name="Airbnb_Jan" sheetId="3" r:id="rId1"/>
    <sheet name="Airbnb_Feb" sheetId="2" r:id="rId2"/>
    <sheet name="Airbnb_Mar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4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2" i="1"/>
  <c r="F31" i="2"/>
  <c r="F32" i="2"/>
  <c r="E31" i="2"/>
  <c r="E32" i="2"/>
  <c r="F34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2" i="3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2" i="3"/>
  <c r="B30" i="2"/>
  <c r="C30" i="2" s="1"/>
  <c r="B29" i="2"/>
  <c r="B28" i="2"/>
  <c r="C28" i="2" s="1"/>
  <c r="B27" i="2"/>
  <c r="B26" i="2"/>
  <c r="C26" i="2" s="1"/>
  <c r="B25" i="2"/>
  <c r="B24" i="2"/>
  <c r="C24" i="2" s="1"/>
  <c r="B23" i="2"/>
  <c r="B22" i="2"/>
  <c r="C22" i="2" s="1"/>
  <c r="B21" i="2"/>
  <c r="B20" i="2"/>
  <c r="C20" i="2" s="1"/>
  <c r="B19" i="2"/>
  <c r="B18" i="2"/>
  <c r="C18" i="2" s="1"/>
  <c r="B17" i="2"/>
  <c r="B16" i="2"/>
  <c r="C16" i="2" s="1"/>
  <c r="B15" i="2"/>
  <c r="B14" i="2"/>
  <c r="C14" i="2" s="1"/>
  <c r="B13" i="2"/>
  <c r="B12" i="2"/>
  <c r="C12" i="2" s="1"/>
  <c r="B11" i="2"/>
  <c r="B10" i="2"/>
  <c r="C10" i="2" s="1"/>
  <c r="B9" i="2"/>
  <c r="B8" i="2"/>
  <c r="C8" i="2" s="1"/>
  <c r="B7" i="2"/>
  <c r="B6" i="2"/>
  <c r="C6" i="2" s="1"/>
  <c r="B5" i="2"/>
  <c r="B4" i="2"/>
  <c r="C4" i="2" s="1"/>
  <c r="B3" i="2"/>
  <c r="B2" i="2"/>
  <c r="C2" i="2" s="1"/>
  <c r="E20" i="2" l="1"/>
  <c r="E6" i="2"/>
  <c r="E14" i="2"/>
  <c r="E22" i="2"/>
  <c r="E30" i="2"/>
  <c r="E4" i="2"/>
  <c r="E28" i="2"/>
  <c r="E8" i="2"/>
  <c r="E24" i="2"/>
  <c r="E12" i="2"/>
  <c r="E16" i="2"/>
  <c r="E10" i="2"/>
  <c r="E18" i="2"/>
  <c r="E26" i="2"/>
  <c r="E2" i="2"/>
  <c r="D8" i="2"/>
  <c r="F8" i="2" s="1"/>
  <c r="D24" i="2"/>
  <c r="D4" i="2"/>
  <c r="D14" i="2"/>
  <c r="D20" i="2"/>
  <c r="D16" i="2"/>
  <c r="D10" i="2"/>
  <c r="D26" i="2"/>
  <c r="D6" i="2"/>
  <c r="D22" i="2"/>
  <c r="D12" i="2"/>
  <c r="F12" i="2" s="1"/>
  <c r="D28" i="2"/>
  <c r="D2" i="2"/>
  <c r="D18" i="2"/>
  <c r="D30" i="2"/>
  <c r="C3" i="2"/>
  <c r="C5" i="2"/>
  <c r="C7" i="2"/>
  <c r="C9" i="2"/>
  <c r="C11" i="2"/>
  <c r="C13" i="2"/>
  <c r="C15" i="2"/>
  <c r="C17" i="2"/>
  <c r="C19" i="2"/>
  <c r="C21" i="2"/>
  <c r="C23" i="2"/>
  <c r="C25" i="2"/>
  <c r="C27" i="2"/>
  <c r="C29" i="2"/>
  <c r="D3" i="2"/>
  <c r="D5" i="2"/>
  <c r="D7" i="2"/>
  <c r="D9" i="2"/>
  <c r="D11" i="2"/>
  <c r="D13" i="2"/>
  <c r="D15" i="2"/>
  <c r="D17" i="2"/>
  <c r="D19" i="2"/>
  <c r="D21" i="2"/>
  <c r="D23" i="2"/>
  <c r="D25" i="2"/>
  <c r="D27" i="2"/>
  <c r="D29" i="2"/>
  <c r="F14" i="2" l="1"/>
  <c r="F18" i="2"/>
  <c r="F10" i="2"/>
  <c r="F2" i="2"/>
  <c r="F20" i="2"/>
  <c r="F28" i="2"/>
  <c r="F16" i="2"/>
  <c r="F30" i="2"/>
  <c r="F4" i="2"/>
  <c r="F6" i="2"/>
  <c r="F22" i="2"/>
  <c r="F24" i="2"/>
  <c r="F26" i="2"/>
  <c r="E11" i="2"/>
  <c r="F11" i="2" s="1"/>
  <c r="E9" i="2"/>
  <c r="F9" i="2" s="1"/>
  <c r="E23" i="2"/>
  <c r="F23" i="2" s="1"/>
  <c r="E7" i="2"/>
  <c r="F7" i="2" s="1"/>
  <c r="E21" i="2"/>
  <c r="F21" i="2" s="1"/>
  <c r="E5" i="2"/>
  <c r="F5" i="2" s="1"/>
  <c r="E27" i="2"/>
  <c r="F27" i="2" s="1"/>
  <c r="E25" i="2"/>
  <c r="F25" i="2" s="1"/>
  <c r="E19" i="2"/>
  <c r="F19" i="2" s="1"/>
  <c r="E3" i="2"/>
  <c r="F3" i="2" s="1"/>
  <c r="E17" i="2"/>
  <c r="F17" i="2" s="1"/>
  <c r="E15" i="2"/>
  <c r="F15" i="2" s="1"/>
  <c r="E29" i="2"/>
  <c r="F29" i="2" s="1"/>
  <c r="E13" i="2"/>
  <c r="F13" i="2" s="1"/>
  <c r="F34" i="2" l="1"/>
</calcChain>
</file>

<file path=xl/sharedStrings.xml><?xml version="1.0" encoding="utf-8"?>
<sst xmlns="http://schemas.openxmlformats.org/spreadsheetml/2006/main" count="21" uniqueCount="7">
  <si>
    <t>Start Date</t>
  </si>
  <si>
    <t>Nights</t>
  </si>
  <si>
    <t>Amount</t>
  </si>
  <si>
    <t>Cleaning Fee</t>
  </si>
  <si>
    <t>Total_Amount</t>
  </si>
  <si>
    <t>Occupancy_Tax</t>
  </si>
  <si>
    <t>TOTAL AMOUNT TO INVESTOR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</si>
</sst>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0"/>
      <name val="Arial"/>
      <family val="2"/>
    </font>
    <font>
      <b/>
      <sz val="14"/>
      <color theme="0"/>
      <name val="Calibri"/>
      <family val="2"/>
      <scheme val="minor"/>
    </font>
    <font>
      <sz val="12"/>
      <color theme="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18" fillId="34" borderId="0" xfId="0" applyNumberFormat="1" applyFont="1" applyFill="1"/>
    <xf numFmtId="0" fontId="18" fillId="34" borderId="0" xfId="0" applyFont="1" applyFill="1"/>
    <xf numFmtId="0" fontId="20" fillId="33" borderId="0" xfId="0" applyFont="1" applyFill="1"/>
    <xf numFmtId="0" fontId="21" fillId="33" borderId="0" xfId="0" applyFont="1" applyFill="1"/>
    <xf numFmtId="0" fontId="19" fillId="33" borderId="0" xfId="0" applyFont="1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4"/>
  <sheetViews>
    <sheetView workbookViewId="0">
      <pane ySplit="1" topLeftCell="A2" activePane="bottomLeft" state="frozen"/>
      <selection pane="bottomLeft" activeCell="I21" sqref="I21"/>
    </sheetView>
  </sheetViews>
  <sheetFormatPr defaultRowHeight="14.5" x14ac:dyDescent="0.35"/>
  <cols>
    <col min="1" max="1" width="13.453125" customWidth="1"/>
    <col min="2" max="2" width="13.7265625" customWidth="1"/>
    <col min="3" max="3" width="15.81640625" customWidth="1"/>
    <col min="4" max="4" width="15.26953125" customWidth="1"/>
    <col min="5" max="5" width="19.1796875" customWidth="1"/>
    <col min="6" max="6" width="18.36328125" customWidth="1"/>
    <col min="7" max="7" width="14.36328125" customWidth="1"/>
    <col min="9" max="9" width="18.6328125" customWidth="1"/>
  </cols>
  <sheetData>
    <row r="1" spans="1:6" ht="15.5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5</v>
      </c>
      <c r="F1" s="4" t="s">
        <v>4</v>
      </c>
    </row>
    <row r="2" spans="1:6" x14ac:dyDescent="0.35">
      <c r="A2" s="1">
        <v>43831</v>
      </c>
      <c r="B2" s="2">
        <v>7</v>
      </c>
      <c r="C2" s="2">
        <f>B2*120</f>
        <v>840</v>
      </c>
      <c r="D2" s="2">
        <f>B2*25</f>
        <v>175</v>
      </c>
      <c r="E2" s="2">
        <f>C2*0.1338</f>
        <v>112.392</v>
      </c>
      <c r="F2" s="2">
        <f>C2-D2-E2</f>
        <v>552.60799999999995</v>
      </c>
    </row>
    <row r="3" spans="1:6" x14ac:dyDescent="0.35">
      <c r="A3" s="1">
        <v>43832</v>
      </c>
      <c r="B3" s="2">
        <v>6</v>
      </c>
      <c r="C3" s="2">
        <f t="shared" ref="C3:C32" si="0">B3*120</f>
        <v>720</v>
      </c>
      <c r="D3" s="2">
        <f t="shared" ref="D3:D32" si="1">B3*25</f>
        <v>150</v>
      </c>
      <c r="E3" s="2">
        <f t="shared" ref="E3:E32" si="2">C3*0.1338</f>
        <v>96.335999999999999</v>
      </c>
      <c r="F3" s="2">
        <f t="shared" ref="F3:F32" si="3">C3-D3-E3</f>
        <v>473.66399999999999</v>
      </c>
    </row>
    <row r="4" spans="1:6" x14ac:dyDescent="0.35">
      <c r="A4" s="1">
        <v>43833</v>
      </c>
      <c r="B4" s="2">
        <v>2</v>
      </c>
      <c r="C4" s="2">
        <f t="shared" si="0"/>
        <v>240</v>
      </c>
      <c r="D4" s="2">
        <f t="shared" si="1"/>
        <v>50</v>
      </c>
      <c r="E4" s="2">
        <f t="shared" si="2"/>
        <v>32.112000000000002</v>
      </c>
      <c r="F4" s="2">
        <f t="shared" si="3"/>
        <v>157.88800000000001</v>
      </c>
    </row>
    <row r="5" spans="1:6" x14ac:dyDescent="0.35">
      <c r="A5" s="1">
        <v>43834</v>
      </c>
      <c r="B5" s="2">
        <v>1</v>
      </c>
      <c r="C5" s="2">
        <f t="shared" si="0"/>
        <v>120</v>
      </c>
      <c r="D5" s="2">
        <f t="shared" si="1"/>
        <v>25</v>
      </c>
      <c r="E5" s="2">
        <f t="shared" si="2"/>
        <v>16.056000000000001</v>
      </c>
      <c r="F5" s="2">
        <f t="shared" si="3"/>
        <v>78.944000000000003</v>
      </c>
    </row>
    <row r="6" spans="1:6" x14ac:dyDescent="0.35">
      <c r="A6" s="1">
        <v>43835</v>
      </c>
      <c r="B6" s="2">
        <v>3</v>
      </c>
      <c r="C6" s="2">
        <f t="shared" si="0"/>
        <v>360</v>
      </c>
      <c r="D6" s="2">
        <f t="shared" si="1"/>
        <v>75</v>
      </c>
      <c r="E6" s="2">
        <f t="shared" si="2"/>
        <v>48.167999999999999</v>
      </c>
      <c r="F6" s="2">
        <f t="shared" si="3"/>
        <v>236.83199999999999</v>
      </c>
    </row>
    <row r="7" spans="1:6" x14ac:dyDescent="0.35">
      <c r="A7" s="1">
        <v>43836</v>
      </c>
      <c r="B7" s="2">
        <v>12</v>
      </c>
      <c r="C7" s="2">
        <f t="shared" si="0"/>
        <v>1440</v>
      </c>
      <c r="D7" s="2">
        <f t="shared" si="1"/>
        <v>300</v>
      </c>
      <c r="E7" s="2">
        <f t="shared" si="2"/>
        <v>192.672</v>
      </c>
      <c r="F7" s="2">
        <f t="shared" si="3"/>
        <v>947.32799999999997</v>
      </c>
    </row>
    <row r="8" spans="1:6" x14ac:dyDescent="0.35">
      <c r="A8" s="1">
        <v>43837</v>
      </c>
      <c r="B8" s="2">
        <v>7</v>
      </c>
      <c r="C8" s="2">
        <f t="shared" si="0"/>
        <v>840</v>
      </c>
      <c r="D8" s="2">
        <f t="shared" si="1"/>
        <v>175</v>
      </c>
      <c r="E8" s="2">
        <f t="shared" si="2"/>
        <v>112.392</v>
      </c>
      <c r="F8" s="2">
        <f t="shared" si="3"/>
        <v>552.60799999999995</v>
      </c>
    </row>
    <row r="9" spans="1:6" x14ac:dyDescent="0.35">
      <c r="A9" s="1">
        <v>43838</v>
      </c>
      <c r="B9" s="2">
        <v>8</v>
      </c>
      <c r="C9" s="2">
        <f t="shared" si="0"/>
        <v>960</v>
      </c>
      <c r="D9" s="2">
        <f t="shared" si="1"/>
        <v>200</v>
      </c>
      <c r="E9" s="2">
        <f t="shared" si="2"/>
        <v>128.44800000000001</v>
      </c>
      <c r="F9" s="2">
        <f t="shared" si="3"/>
        <v>631.55200000000002</v>
      </c>
    </row>
    <row r="10" spans="1:6" x14ac:dyDescent="0.35">
      <c r="A10" s="1">
        <v>43839</v>
      </c>
      <c r="B10" s="2">
        <v>1</v>
      </c>
      <c r="C10" s="2">
        <f t="shared" si="0"/>
        <v>120</v>
      </c>
      <c r="D10" s="2">
        <f t="shared" si="1"/>
        <v>25</v>
      </c>
      <c r="E10" s="2">
        <f t="shared" si="2"/>
        <v>16.056000000000001</v>
      </c>
      <c r="F10" s="2">
        <f t="shared" si="3"/>
        <v>78.944000000000003</v>
      </c>
    </row>
    <row r="11" spans="1:6" x14ac:dyDescent="0.35">
      <c r="A11" s="1">
        <v>43840</v>
      </c>
      <c r="B11" s="2">
        <v>10</v>
      </c>
      <c r="C11" s="2">
        <f t="shared" si="0"/>
        <v>1200</v>
      </c>
      <c r="D11" s="2">
        <f t="shared" si="1"/>
        <v>250</v>
      </c>
      <c r="E11" s="2">
        <f t="shared" si="2"/>
        <v>160.56</v>
      </c>
      <c r="F11" s="2">
        <f t="shared" si="3"/>
        <v>789.44</v>
      </c>
    </row>
    <row r="12" spans="1:6" x14ac:dyDescent="0.35">
      <c r="A12" s="1">
        <v>43841</v>
      </c>
      <c r="B12" s="2">
        <v>2</v>
      </c>
      <c r="C12" s="2">
        <f t="shared" si="0"/>
        <v>240</v>
      </c>
      <c r="D12" s="2">
        <f t="shared" si="1"/>
        <v>50</v>
      </c>
      <c r="E12" s="2">
        <f t="shared" si="2"/>
        <v>32.112000000000002</v>
      </c>
      <c r="F12" s="2">
        <f t="shared" si="3"/>
        <v>157.88800000000001</v>
      </c>
    </row>
    <row r="13" spans="1:6" x14ac:dyDescent="0.35">
      <c r="A13" s="1">
        <v>43842</v>
      </c>
      <c r="B13" s="2">
        <v>1</v>
      </c>
      <c r="C13" s="2">
        <f t="shared" si="0"/>
        <v>120</v>
      </c>
      <c r="D13" s="2">
        <f t="shared" si="1"/>
        <v>25</v>
      </c>
      <c r="E13" s="2">
        <f t="shared" si="2"/>
        <v>16.056000000000001</v>
      </c>
      <c r="F13" s="2">
        <f t="shared" si="3"/>
        <v>78.944000000000003</v>
      </c>
    </row>
    <row r="14" spans="1:6" x14ac:dyDescent="0.35">
      <c r="A14" s="1">
        <v>43843</v>
      </c>
      <c r="B14" s="2">
        <v>2</v>
      </c>
      <c r="C14" s="2">
        <f t="shared" si="0"/>
        <v>240</v>
      </c>
      <c r="D14" s="2">
        <f t="shared" si="1"/>
        <v>50</v>
      </c>
      <c r="E14" s="2">
        <f t="shared" si="2"/>
        <v>32.112000000000002</v>
      </c>
      <c r="F14" s="2">
        <f t="shared" si="3"/>
        <v>157.88800000000001</v>
      </c>
    </row>
    <row r="15" spans="1:6" x14ac:dyDescent="0.35">
      <c r="A15" s="1">
        <v>43844</v>
      </c>
      <c r="B15" s="2">
        <v>11</v>
      </c>
      <c r="C15" s="2">
        <f t="shared" si="0"/>
        <v>1320</v>
      </c>
      <c r="D15" s="2">
        <f t="shared" si="1"/>
        <v>275</v>
      </c>
      <c r="E15" s="2">
        <f t="shared" si="2"/>
        <v>176.61600000000001</v>
      </c>
      <c r="F15" s="2">
        <f t="shared" si="3"/>
        <v>868.38400000000001</v>
      </c>
    </row>
    <row r="16" spans="1:6" x14ac:dyDescent="0.35">
      <c r="A16" s="1">
        <v>43845</v>
      </c>
      <c r="B16" s="2">
        <v>1</v>
      </c>
      <c r="C16" s="2">
        <f t="shared" si="0"/>
        <v>120</v>
      </c>
      <c r="D16" s="2">
        <f t="shared" si="1"/>
        <v>25</v>
      </c>
      <c r="E16" s="2">
        <f t="shared" si="2"/>
        <v>16.056000000000001</v>
      </c>
      <c r="F16" s="2">
        <f t="shared" si="3"/>
        <v>78.944000000000003</v>
      </c>
    </row>
    <row r="17" spans="1:6" x14ac:dyDescent="0.35">
      <c r="A17" s="1">
        <v>43846</v>
      </c>
      <c r="B17" s="2">
        <v>10</v>
      </c>
      <c r="C17" s="2">
        <f t="shared" si="0"/>
        <v>1200</v>
      </c>
      <c r="D17" s="2">
        <f t="shared" si="1"/>
        <v>250</v>
      </c>
      <c r="E17" s="2">
        <f t="shared" si="2"/>
        <v>160.56</v>
      </c>
      <c r="F17" s="2">
        <f t="shared" si="3"/>
        <v>789.44</v>
      </c>
    </row>
    <row r="18" spans="1:6" x14ac:dyDescent="0.35">
      <c r="A18" s="1">
        <v>43847</v>
      </c>
      <c r="B18" s="2">
        <v>10</v>
      </c>
      <c r="C18" s="2">
        <f t="shared" si="0"/>
        <v>1200</v>
      </c>
      <c r="D18" s="2">
        <f t="shared" si="1"/>
        <v>250</v>
      </c>
      <c r="E18" s="2">
        <f t="shared" si="2"/>
        <v>160.56</v>
      </c>
      <c r="F18" s="2">
        <f t="shared" si="3"/>
        <v>789.44</v>
      </c>
    </row>
    <row r="19" spans="1:6" x14ac:dyDescent="0.35">
      <c r="A19" s="1">
        <v>43848</v>
      </c>
      <c r="B19" s="2">
        <v>3</v>
      </c>
      <c r="C19" s="2">
        <f t="shared" si="0"/>
        <v>360</v>
      </c>
      <c r="D19" s="2">
        <f t="shared" si="1"/>
        <v>75</v>
      </c>
      <c r="E19" s="2">
        <f t="shared" si="2"/>
        <v>48.167999999999999</v>
      </c>
      <c r="F19" s="2">
        <f t="shared" si="3"/>
        <v>236.83199999999999</v>
      </c>
    </row>
    <row r="20" spans="1:6" x14ac:dyDescent="0.35">
      <c r="A20" s="1">
        <v>43849</v>
      </c>
      <c r="B20" s="2">
        <v>8</v>
      </c>
      <c r="C20" s="2">
        <f t="shared" si="0"/>
        <v>960</v>
      </c>
      <c r="D20" s="2">
        <f t="shared" si="1"/>
        <v>200</v>
      </c>
      <c r="E20" s="2">
        <f t="shared" si="2"/>
        <v>128.44800000000001</v>
      </c>
      <c r="F20" s="2">
        <f t="shared" si="3"/>
        <v>631.55200000000002</v>
      </c>
    </row>
    <row r="21" spans="1:6" x14ac:dyDescent="0.35">
      <c r="A21" s="1">
        <v>43850</v>
      </c>
      <c r="B21" s="2">
        <v>12</v>
      </c>
      <c r="C21" s="2">
        <f t="shared" si="0"/>
        <v>1440</v>
      </c>
      <c r="D21" s="2">
        <f t="shared" si="1"/>
        <v>300</v>
      </c>
      <c r="E21" s="2">
        <f t="shared" si="2"/>
        <v>192.672</v>
      </c>
      <c r="F21" s="2">
        <f t="shared" si="3"/>
        <v>947.32799999999997</v>
      </c>
    </row>
    <row r="22" spans="1:6" x14ac:dyDescent="0.35">
      <c r="A22" s="1">
        <v>43851</v>
      </c>
      <c r="B22" s="2">
        <v>9</v>
      </c>
      <c r="C22" s="2">
        <f t="shared" si="0"/>
        <v>1080</v>
      </c>
      <c r="D22" s="2">
        <f t="shared" si="1"/>
        <v>225</v>
      </c>
      <c r="E22" s="2">
        <f t="shared" si="2"/>
        <v>144.50399999999999</v>
      </c>
      <c r="F22" s="2">
        <f t="shared" si="3"/>
        <v>710.49599999999998</v>
      </c>
    </row>
    <row r="23" spans="1:6" x14ac:dyDescent="0.35">
      <c r="A23" s="1">
        <v>43852</v>
      </c>
      <c r="B23" s="2">
        <v>12</v>
      </c>
      <c r="C23" s="2">
        <f t="shared" si="0"/>
        <v>1440</v>
      </c>
      <c r="D23" s="2">
        <f t="shared" si="1"/>
        <v>300</v>
      </c>
      <c r="E23" s="2">
        <f t="shared" si="2"/>
        <v>192.672</v>
      </c>
      <c r="F23" s="2">
        <f t="shared" si="3"/>
        <v>947.32799999999997</v>
      </c>
    </row>
    <row r="24" spans="1:6" x14ac:dyDescent="0.35">
      <c r="A24" s="1">
        <v>43853</v>
      </c>
      <c r="B24" s="2">
        <v>4</v>
      </c>
      <c r="C24" s="2">
        <f t="shared" si="0"/>
        <v>480</v>
      </c>
      <c r="D24" s="2">
        <f t="shared" si="1"/>
        <v>100</v>
      </c>
      <c r="E24" s="2">
        <f t="shared" si="2"/>
        <v>64.224000000000004</v>
      </c>
      <c r="F24" s="2">
        <f t="shared" si="3"/>
        <v>315.77600000000001</v>
      </c>
    </row>
    <row r="25" spans="1:6" x14ac:dyDescent="0.35">
      <c r="A25" s="1">
        <v>43854</v>
      </c>
      <c r="B25" s="2">
        <v>4</v>
      </c>
      <c r="C25" s="2">
        <f t="shared" si="0"/>
        <v>480</v>
      </c>
      <c r="D25" s="2">
        <f t="shared" si="1"/>
        <v>100</v>
      </c>
      <c r="E25" s="2">
        <f t="shared" si="2"/>
        <v>64.224000000000004</v>
      </c>
      <c r="F25" s="2">
        <f t="shared" si="3"/>
        <v>315.77600000000001</v>
      </c>
    </row>
    <row r="26" spans="1:6" x14ac:dyDescent="0.35">
      <c r="A26" s="1">
        <v>43855</v>
      </c>
      <c r="B26" s="2">
        <v>3</v>
      </c>
      <c r="C26" s="2">
        <f t="shared" si="0"/>
        <v>360</v>
      </c>
      <c r="D26" s="2">
        <f t="shared" si="1"/>
        <v>75</v>
      </c>
      <c r="E26" s="2">
        <f t="shared" si="2"/>
        <v>48.167999999999999</v>
      </c>
      <c r="F26" s="2">
        <f t="shared" si="3"/>
        <v>236.83199999999999</v>
      </c>
    </row>
    <row r="27" spans="1:6" x14ac:dyDescent="0.35">
      <c r="A27" s="1">
        <v>43856</v>
      </c>
      <c r="B27" s="2">
        <v>6</v>
      </c>
      <c r="C27" s="2">
        <f t="shared" si="0"/>
        <v>720</v>
      </c>
      <c r="D27" s="2">
        <f t="shared" si="1"/>
        <v>150</v>
      </c>
      <c r="E27" s="2">
        <f t="shared" si="2"/>
        <v>96.335999999999999</v>
      </c>
      <c r="F27" s="2">
        <f t="shared" si="3"/>
        <v>473.66399999999999</v>
      </c>
    </row>
    <row r="28" spans="1:6" x14ac:dyDescent="0.35">
      <c r="A28" s="1">
        <v>43857</v>
      </c>
      <c r="B28" s="2">
        <v>8</v>
      </c>
      <c r="C28" s="2">
        <f t="shared" si="0"/>
        <v>960</v>
      </c>
      <c r="D28" s="2">
        <f t="shared" si="1"/>
        <v>200</v>
      </c>
      <c r="E28" s="2">
        <f t="shared" si="2"/>
        <v>128.44800000000001</v>
      </c>
      <c r="F28" s="2">
        <f t="shared" si="3"/>
        <v>631.55200000000002</v>
      </c>
    </row>
    <row r="29" spans="1:6" x14ac:dyDescent="0.35">
      <c r="A29" s="1">
        <v>43858</v>
      </c>
      <c r="B29" s="2">
        <v>11</v>
      </c>
      <c r="C29" s="2">
        <f t="shared" si="0"/>
        <v>1320</v>
      </c>
      <c r="D29" s="2">
        <f t="shared" si="1"/>
        <v>275</v>
      </c>
      <c r="E29" s="2">
        <f t="shared" si="2"/>
        <v>176.61600000000001</v>
      </c>
      <c r="F29" s="2">
        <f t="shared" si="3"/>
        <v>868.38400000000001</v>
      </c>
    </row>
    <row r="30" spans="1:6" x14ac:dyDescent="0.35">
      <c r="A30" s="1">
        <v>43859</v>
      </c>
      <c r="B30" s="2">
        <v>9</v>
      </c>
      <c r="C30" s="2">
        <f t="shared" si="0"/>
        <v>1080</v>
      </c>
      <c r="D30" s="2">
        <f t="shared" si="1"/>
        <v>225</v>
      </c>
      <c r="E30" s="2">
        <f t="shared" si="2"/>
        <v>144.50399999999999</v>
      </c>
      <c r="F30" s="2">
        <f t="shared" si="3"/>
        <v>710.49599999999998</v>
      </c>
    </row>
    <row r="31" spans="1:6" x14ac:dyDescent="0.35">
      <c r="A31" s="1">
        <v>43860</v>
      </c>
      <c r="B31" s="2">
        <v>9</v>
      </c>
      <c r="C31" s="2">
        <f t="shared" si="0"/>
        <v>1080</v>
      </c>
      <c r="D31" s="2">
        <f t="shared" si="1"/>
        <v>225</v>
      </c>
      <c r="E31" s="2">
        <f t="shared" si="2"/>
        <v>144.50399999999999</v>
      </c>
      <c r="F31" s="2">
        <f t="shared" si="3"/>
        <v>710.49599999999998</v>
      </c>
    </row>
    <row r="32" spans="1:6" x14ac:dyDescent="0.35">
      <c r="A32" s="1">
        <v>43861</v>
      </c>
      <c r="B32" s="2">
        <v>6</v>
      </c>
      <c r="C32" s="2">
        <f t="shared" si="0"/>
        <v>720</v>
      </c>
      <c r="D32" s="2">
        <f t="shared" si="1"/>
        <v>150</v>
      </c>
      <c r="E32" s="2">
        <f t="shared" si="2"/>
        <v>96.335999999999999</v>
      </c>
      <c r="F32" s="2">
        <f t="shared" si="3"/>
        <v>473.66399999999999</v>
      </c>
    </row>
    <row r="33" spans="1:6" x14ac:dyDescent="0.35">
      <c r="A33" s="2"/>
      <c r="B33" s="2"/>
      <c r="C33" s="2"/>
      <c r="D33" s="2"/>
      <c r="E33" s="2"/>
      <c r="F33" s="2"/>
    </row>
    <row r="34" spans="1:6" ht="18.5" x14ac:dyDescent="0.45">
      <c r="A34" s="5" t="s">
        <v>6</v>
      </c>
      <c r="B34" s="5"/>
      <c r="C34" s="5"/>
      <c r="D34" s="5"/>
      <c r="E34" s="5"/>
      <c r="F34" s="3">
        <f>SUM(F2:F32)*0.75</f>
        <v>11723.183999999999</v>
      </c>
    </row>
  </sheetData>
  <mergeCells count="1">
    <mergeCell ref="A34:E3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34"/>
  <sheetViews>
    <sheetView workbookViewId="0">
      <pane ySplit="1" topLeftCell="A15" activePane="bottomLeft" state="frozenSplit"/>
      <selection pane="bottomLeft" activeCell="I4" sqref="I4"/>
    </sheetView>
  </sheetViews>
  <sheetFormatPr defaultRowHeight="14.5" x14ac:dyDescent="0.35"/>
  <cols>
    <col min="1" max="1" width="12" customWidth="1"/>
    <col min="2" max="2" width="12.90625" customWidth="1"/>
    <col min="3" max="4" width="14.36328125" customWidth="1"/>
    <col min="5" max="5" width="18" customWidth="1"/>
    <col min="6" max="6" width="17" customWidth="1"/>
    <col min="7" max="7" width="14.26953125" customWidth="1"/>
    <col min="9" max="9" width="14.7265625" customWidth="1"/>
  </cols>
  <sheetData>
    <row r="1" spans="1:6" ht="15.5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5</v>
      </c>
      <c r="F1" s="4" t="s">
        <v>4</v>
      </c>
    </row>
    <row r="2" spans="1:6" x14ac:dyDescent="0.35">
      <c r="A2" s="1">
        <v>43862</v>
      </c>
      <c r="B2" s="2">
        <f ca="1">RANDBETWEEN(1,12)</f>
        <v>10</v>
      </c>
      <c r="C2" s="2">
        <f ca="1">B2*120</f>
        <v>1200</v>
      </c>
      <c r="D2" s="2">
        <f ca="1">B2*25</f>
        <v>250</v>
      </c>
      <c r="E2" s="2">
        <f ca="1">C2*0.1338</f>
        <v>160.56</v>
      </c>
      <c r="F2" s="2">
        <f ca="1">C2-D2-E2</f>
        <v>789.44</v>
      </c>
    </row>
    <row r="3" spans="1:6" x14ac:dyDescent="0.35">
      <c r="A3" s="1">
        <v>43863</v>
      </c>
      <c r="B3" s="2">
        <f t="shared" ref="B3:B30" ca="1" si="0">RANDBETWEEN(1,12)</f>
        <v>5</v>
      </c>
      <c r="C3" s="2">
        <f t="shared" ref="C3:C30" ca="1" si="1">B3*120</f>
        <v>600</v>
      </c>
      <c r="D3" s="2">
        <f t="shared" ref="D3:D30" ca="1" si="2">B3*25</f>
        <v>125</v>
      </c>
      <c r="E3" s="2">
        <f t="shared" ref="E3:E32" ca="1" si="3">C3*0.1338</f>
        <v>80.28</v>
      </c>
      <c r="F3" s="2">
        <f t="shared" ref="F3:F32" ca="1" si="4">C3-D3-E3</f>
        <v>394.72</v>
      </c>
    </row>
    <row r="4" spans="1:6" x14ac:dyDescent="0.35">
      <c r="A4" s="1">
        <v>43864</v>
      </c>
      <c r="B4" s="2">
        <f t="shared" ca="1" si="0"/>
        <v>2</v>
      </c>
      <c r="C4" s="2">
        <f t="shared" ca="1" si="1"/>
        <v>240</v>
      </c>
      <c r="D4" s="2">
        <f t="shared" ca="1" si="2"/>
        <v>50</v>
      </c>
      <c r="E4" s="2">
        <f t="shared" ca="1" si="3"/>
        <v>32.112000000000002</v>
      </c>
      <c r="F4" s="2">
        <f t="shared" ca="1" si="4"/>
        <v>157.88800000000001</v>
      </c>
    </row>
    <row r="5" spans="1:6" x14ac:dyDescent="0.35">
      <c r="A5" s="1">
        <v>43865</v>
      </c>
      <c r="B5" s="2">
        <f t="shared" ca="1" si="0"/>
        <v>2</v>
      </c>
      <c r="C5" s="2">
        <f t="shared" ca="1" si="1"/>
        <v>240</v>
      </c>
      <c r="D5" s="2">
        <f t="shared" ca="1" si="2"/>
        <v>50</v>
      </c>
      <c r="E5" s="2">
        <f t="shared" ca="1" si="3"/>
        <v>32.112000000000002</v>
      </c>
      <c r="F5" s="2">
        <f t="shared" ca="1" si="4"/>
        <v>157.88800000000001</v>
      </c>
    </row>
    <row r="6" spans="1:6" x14ac:dyDescent="0.35">
      <c r="A6" s="1">
        <v>43866</v>
      </c>
      <c r="B6" s="2">
        <f t="shared" ca="1" si="0"/>
        <v>2</v>
      </c>
      <c r="C6" s="2">
        <f t="shared" ca="1" si="1"/>
        <v>240</v>
      </c>
      <c r="D6" s="2">
        <f t="shared" ca="1" si="2"/>
        <v>50</v>
      </c>
      <c r="E6" s="2">
        <f t="shared" ca="1" si="3"/>
        <v>32.112000000000002</v>
      </c>
      <c r="F6" s="2">
        <f t="shared" ca="1" si="4"/>
        <v>157.88800000000001</v>
      </c>
    </row>
    <row r="7" spans="1:6" x14ac:dyDescent="0.35">
      <c r="A7" s="1">
        <v>43867</v>
      </c>
      <c r="B7" s="2">
        <f t="shared" ca="1" si="0"/>
        <v>8</v>
      </c>
      <c r="C7" s="2">
        <f t="shared" ca="1" si="1"/>
        <v>960</v>
      </c>
      <c r="D7" s="2">
        <f t="shared" ca="1" si="2"/>
        <v>200</v>
      </c>
      <c r="E7" s="2">
        <f t="shared" ca="1" si="3"/>
        <v>128.44800000000001</v>
      </c>
      <c r="F7" s="2">
        <f t="shared" ca="1" si="4"/>
        <v>631.55200000000002</v>
      </c>
    </row>
    <row r="8" spans="1:6" x14ac:dyDescent="0.35">
      <c r="A8" s="1">
        <v>43868</v>
      </c>
      <c r="B8" s="2">
        <f t="shared" ca="1" si="0"/>
        <v>1</v>
      </c>
      <c r="C8" s="2">
        <f t="shared" ca="1" si="1"/>
        <v>120</v>
      </c>
      <c r="D8" s="2">
        <f t="shared" ca="1" si="2"/>
        <v>25</v>
      </c>
      <c r="E8" s="2">
        <f t="shared" ca="1" si="3"/>
        <v>16.056000000000001</v>
      </c>
      <c r="F8" s="2">
        <f t="shared" ca="1" si="4"/>
        <v>78.944000000000003</v>
      </c>
    </row>
    <row r="9" spans="1:6" x14ac:dyDescent="0.35">
      <c r="A9" s="1">
        <v>43869</v>
      </c>
      <c r="B9" s="2">
        <f t="shared" ca="1" si="0"/>
        <v>3</v>
      </c>
      <c r="C9" s="2">
        <f t="shared" ca="1" si="1"/>
        <v>360</v>
      </c>
      <c r="D9" s="2">
        <f t="shared" ca="1" si="2"/>
        <v>75</v>
      </c>
      <c r="E9" s="2">
        <f t="shared" ca="1" si="3"/>
        <v>48.167999999999999</v>
      </c>
      <c r="F9" s="2">
        <f t="shared" ca="1" si="4"/>
        <v>236.83199999999999</v>
      </c>
    </row>
    <row r="10" spans="1:6" x14ac:dyDescent="0.35">
      <c r="A10" s="1">
        <v>43870</v>
      </c>
      <c r="B10" s="2">
        <f t="shared" ca="1" si="0"/>
        <v>7</v>
      </c>
      <c r="C10" s="2">
        <f t="shared" ca="1" si="1"/>
        <v>840</v>
      </c>
      <c r="D10" s="2">
        <f t="shared" ca="1" si="2"/>
        <v>175</v>
      </c>
      <c r="E10" s="2">
        <f t="shared" ca="1" si="3"/>
        <v>112.392</v>
      </c>
      <c r="F10" s="2">
        <f t="shared" ca="1" si="4"/>
        <v>552.60799999999995</v>
      </c>
    </row>
    <row r="11" spans="1:6" x14ac:dyDescent="0.35">
      <c r="A11" s="1">
        <v>43871</v>
      </c>
      <c r="B11" s="2">
        <f t="shared" ca="1" si="0"/>
        <v>2</v>
      </c>
      <c r="C11" s="2">
        <f t="shared" ca="1" si="1"/>
        <v>240</v>
      </c>
      <c r="D11" s="2">
        <f t="shared" ca="1" si="2"/>
        <v>50</v>
      </c>
      <c r="E11" s="2">
        <f t="shared" ca="1" si="3"/>
        <v>32.112000000000002</v>
      </c>
      <c r="F11" s="2">
        <f t="shared" ca="1" si="4"/>
        <v>157.88800000000001</v>
      </c>
    </row>
    <row r="12" spans="1:6" x14ac:dyDescent="0.35">
      <c r="A12" s="1">
        <v>43872</v>
      </c>
      <c r="B12" s="2">
        <f t="shared" ca="1" si="0"/>
        <v>6</v>
      </c>
      <c r="C12" s="2">
        <f t="shared" ca="1" si="1"/>
        <v>720</v>
      </c>
      <c r="D12" s="2">
        <f t="shared" ca="1" si="2"/>
        <v>150</v>
      </c>
      <c r="E12" s="2">
        <f t="shared" ca="1" si="3"/>
        <v>96.335999999999999</v>
      </c>
      <c r="F12" s="2">
        <f t="shared" ca="1" si="4"/>
        <v>473.66399999999999</v>
      </c>
    </row>
    <row r="13" spans="1:6" x14ac:dyDescent="0.35">
      <c r="A13" s="1">
        <v>43873</v>
      </c>
      <c r="B13" s="2">
        <f t="shared" ca="1" si="0"/>
        <v>7</v>
      </c>
      <c r="C13" s="2">
        <f t="shared" ca="1" si="1"/>
        <v>840</v>
      </c>
      <c r="D13" s="2">
        <f t="shared" ca="1" si="2"/>
        <v>175</v>
      </c>
      <c r="E13" s="2">
        <f t="shared" ca="1" si="3"/>
        <v>112.392</v>
      </c>
      <c r="F13" s="2">
        <f t="shared" ca="1" si="4"/>
        <v>552.60799999999995</v>
      </c>
    </row>
    <row r="14" spans="1:6" x14ac:dyDescent="0.35">
      <c r="A14" s="1">
        <v>43874</v>
      </c>
      <c r="B14" s="2">
        <f t="shared" ca="1" si="0"/>
        <v>1</v>
      </c>
      <c r="C14" s="2">
        <f t="shared" ca="1" si="1"/>
        <v>120</v>
      </c>
      <c r="D14" s="2">
        <f t="shared" ca="1" si="2"/>
        <v>25</v>
      </c>
      <c r="E14" s="2">
        <f t="shared" ca="1" si="3"/>
        <v>16.056000000000001</v>
      </c>
      <c r="F14" s="2">
        <f t="shared" ca="1" si="4"/>
        <v>78.944000000000003</v>
      </c>
    </row>
    <row r="15" spans="1:6" x14ac:dyDescent="0.35">
      <c r="A15" s="1">
        <v>43875</v>
      </c>
      <c r="B15" s="2">
        <f t="shared" ca="1" si="0"/>
        <v>10</v>
      </c>
      <c r="C15" s="2">
        <f t="shared" ca="1" si="1"/>
        <v>1200</v>
      </c>
      <c r="D15" s="2">
        <f t="shared" ca="1" si="2"/>
        <v>250</v>
      </c>
      <c r="E15" s="2">
        <f t="shared" ca="1" si="3"/>
        <v>160.56</v>
      </c>
      <c r="F15" s="2">
        <f t="shared" ca="1" si="4"/>
        <v>789.44</v>
      </c>
    </row>
    <row r="16" spans="1:6" x14ac:dyDescent="0.35">
      <c r="A16" s="1">
        <v>43876</v>
      </c>
      <c r="B16" s="2">
        <f t="shared" ca="1" si="0"/>
        <v>5</v>
      </c>
      <c r="C16" s="2">
        <f t="shared" ca="1" si="1"/>
        <v>600</v>
      </c>
      <c r="D16" s="2">
        <f t="shared" ca="1" si="2"/>
        <v>125</v>
      </c>
      <c r="E16" s="2">
        <f t="shared" ca="1" si="3"/>
        <v>80.28</v>
      </c>
      <c r="F16" s="2">
        <f t="shared" ca="1" si="4"/>
        <v>394.72</v>
      </c>
    </row>
    <row r="17" spans="1:6" x14ac:dyDescent="0.35">
      <c r="A17" s="1">
        <v>43877</v>
      </c>
      <c r="B17" s="2">
        <f t="shared" ca="1" si="0"/>
        <v>4</v>
      </c>
      <c r="C17" s="2">
        <f t="shared" ca="1" si="1"/>
        <v>480</v>
      </c>
      <c r="D17" s="2">
        <f t="shared" ca="1" si="2"/>
        <v>100</v>
      </c>
      <c r="E17" s="2">
        <f t="shared" ca="1" si="3"/>
        <v>64.224000000000004</v>
      </c>
      <c r="F17" s="2">
        <f t="shared" ca="1" si="4"/>
        <v>315.77600000000001</v>
      </c>
    </row>
    <row r="18" spans="1:6" x14ac:dyDescent="0.35">
      <c r="A18" s="1">
        <v>43878</v>
      </c>
      <c r="B18" s="2">
        <f t="shared" ca="1" si="0"/>
        <v>1</v>
      </c>
      <c r="C18" s="2">
        <f t="shared" ca="1" si="1"/>
        <v>120</v>
      </c>
      <c r="D18" s="2">
        <f t="shared" ca="1" si="2"/>
        <v>25</v>
      </c>
      <c r="E18" s="2">
        <f t="shared" ca="1" si="3"/>
        <v>16.056000000000001</v>
      </c>
      <c r="F18" s="2">
        <f t="shared" ca="1" si="4"/>
        <v>78.944000000000003</v>
      </c>
    </row>
    <row r="19" spans="1:6" x14ac:dyDescent="0.35">
      <c r="A19" s="1">
        <v>43879</v>
      </c>
      <c r="B19" s="2">
        <f t="shared" ca="1" si="0"/>
        <v>4</v>
      </c>
      <c r="C19" s="2">
        <f t="shared" ca="1" si="1"/>
        <v>480</v>
      </c>
      <c r="D19" s="2">
        <f t="shared" ca="1" si="2"/>
        <v>100</v>
      </c>
      <c r="E19" s="2">
        <f t="shared" ca="1" si="3"/>
        <v>64.224000000000004</v>
      </c>
      <c r="F19" s="2">
        <f t="shared" ca="1" si="4"/>
        <v>315.77600000000001</v>
      </c>
    </row>
    <row r="20" spans="1:6" x14ac:dyDescent="0.35">
      <c r="A20" s="1">
        <v>43880</v>
      </c>
      <c r="B20" s="2">
        <f t="shared" ca="1" si="0"/>
        <v>1</v>
      </c>
      <c r="C20" s="2">
        <f t="shared" ca="1" si="1"/>
        <v>120</v>
      </c>
      <c r="D20" s="2">
        <f t="shared" ca="1" si="2"/>
        <v>25</v>
      </c>
      <c r="E20" s="2">
        <f t="shared" ca="1" si="3"/>
        <v>16.056000000000001</v>
      </c>
      <c r="F20" s="2">
        <f t="shared" ca="1" si="4"/>
        <v>78.944000000000003</v>
      </c>
    </row>
    <row r="21" spans="1:6" x14ac:dyDescent="0.35">
      <c r="A21" s="1">
        <v>43881</v>
      </c>
      <c r="B21" s="2">
        <f t="shared" ca="1" si="0"/>
        <v>12</v>
      </c>
      <c r="C21" s="2">
        <f t="shared" ca="1" si="1"/>
        <v>1440</v>
      </c>
      <c r="D21" s="2">
        <f t="shared" ca="1" si="2"/>
        <v>300</v>
      </c>
      <c r="E21" s="2">
        <f t="shared" ca="1" si="3"/>
        <v>192.672</v>
      </c>
      <c r="F21" s="2">
        <f t="shared" ca="1" si="4"/>
        <v>947.32799999999997</v>
      </c>
    </row>
    <row r="22" spans="1:6" x14ac:dyDescent="0.35">
      <c r="A22" s="1">
        <v>43882</v>
      </c>
      <c r="B22" s="2">
        <f t="shared" ca="1" si="0"/>
        <v>9</v>
      </c>
      <c r="C22" s="2">
        <f t="shared" ca="1" si="1"/>
        <v>1080</v>
      </c>
      <c r="D22" s="2">
        <f t="shared" ca="1" si="2"/>
        <v>225</v>
      </c>
      <c r="E22" s="2">
        <f t="shared" ca="1" si="3"/>
        <v>144.50399999999999</v>
      </c>
      <c r="F22" s="2">
        <f t="shared" ca="1" si="4"/>
        <v>710.49599999999998</v>
      </c>
    </row>
    <row r="23" spans="1:6" x14ac:dyDescent="0.35">
      <c r="A23" s="1">
        <v>43883</v>
      </c>
      <c r="B23" s="2">
        <f t="shared" ca="1" si="0"/>
        <v>11</v>
      </c>
      <c r="C23" s="2">
        <f t="shared" ca="1" si="1"/>
        <v>1320</v>
      </c>
      <c r="D23" s="2">
        <f t="shared" ca="1" si="2"/>
        <v>275</v>
      </c>
      <c r="E23" s="2">
        <f t="shared" ca="1" si="3"/>
        <v>176.61600000000001</v>
      </c>
      <c r="F23" s="2">
        <f t="shared" ca="1" si="4"/>
        <v>868.38400000000001</v>
      </c>
    </row>
    <row r="24" spans="1:6" x14ac:dyDescent="0.35">
      <c r="A24" s="1">
        <v>43884</v>
      </c>
      <c r="B24" s="2">
        <f t="shared" ca="1" si="0"/>
        <v>11</v>
      </c>
      <c r="C24" s="2">
        <f t="shared" ca="1" si="1"/>
        <v>1320</v>
      </c>
      <c r="D24" s="2">
        <f t="shared" ca="1" si="2"/>
        <v>275</v>
      </c>
      <c r="E24" s="2">
        <f t="shared" ca="1" si="3"/>
        <v>176.61600000000001</v>
      </c>
      <c r="F24" s="2">
        <f t="shared" ca="1" si="4"/>
        <v>868.38400000000001</v>
      </c>
    </row>
    <row r="25" spans="1:6" x14ac:dyDescent="0.35">
      <c r="A25" s="1">
        <v>43885</v>
      </c>
      <c r="B25" s="2">
        <f t="shared" ca="1" si="0"/>
        <v>10</v>
      </c>
      <c r="C25" s="2">
        <f t="shared" ca="1" si="1"/>
        <v>1200</v>
      </c>
      <c r="D25" s="2">
        <f t="shared" ca="1" si="2"/>
        <v>250</v>
      </c>
      <c r="E25" s="2">
        <f t="shared" ca="1" si="3"/>
        <v>160.56</v>
      </c>
      <c r="F25" s="2">
        <f t="shared" ca="1" si="4"/>
        <v>789.44</v>
      </c>
    </row>
    <row r="26" spans="1:6" x14ac:dyDescent="0.35">
      <c r="A26" s="1">
        <v>43886</v>
      </c>
      <c r="B26" s="2">
        <f t="shared" ca="1" si="0"/>
        <v>9</v>
      </c>
      <c r="C26" s="2">
        <f t="shared" ca="1" si="1"/>
        <v>1080</v>
      </c>
      <c r="D26" s="2">
        <f t="shared" ca="1" si="2"/>
        <v>225</v>
      </c>
      <c r="E26" s="2">
        <f t="shared" ca="1" si="3"/>
        <v>144.50399999999999</v>
      </c>
      <c r="F26" s="2">
        <f t="shared" ca="1" si="4"/>
        <v>710.49599999999998</v>
      </c>
    </row>
    <row r="27" spans="1:6" x14ac:dyDescent="0.35">
      <c r="A27" s="1">
        <v>43887</v>
      </c>
      <c r="B27" s="2">
        <f t="shared" ca="1" si="0"/>
        <v>9</v>
      </c>
      <c r="C27" s="2">
        <f t="shared" ca="1" si="1"/>
        <v>1080</v>
      </c>
      <c r="D27" s="2">
        <f t="shared" ca="1" si="2"/>
        <v>225</v>
      </c>
      <c r="E27" s="2">
        <f t="shared" ca="1" si="3"/>
        <v>144.50399999999999</v>
      </c>
      <c r="F27" s="2">
        <f t="shared" ca="1" si="4"/>
        <v>710.49599999999998</v>
      </c>
    </row>
    <row r="28" spans="1:6" x14ac:dyDescent="0.35">
      <c r="A28" s="1">
        <v>43888</v>
      </c>
      <c r="B28" s="2">
        <f t="shared" ca="1" si="0"/>
        <v>11</v>
      </c>
      <c r="C28" s="2">
        <f t="shared" ca="1" si="1"/>
        <v>1320</v>
      </c>
      <c r="D28" s="2">
        <f t="shared" ca="1" si="2"/>
        <v>275</v>
      </c>
      <c r="E28" s="2">
        <f t="shared" ca="1" si="3"/>
        <v>176.61600000000001</v>
      </c>
      <c r="F28" s="2">
        <f t="shared" ca="1" si="4"/>
        <v>868.38400000000001</v>
      </c>
    </row>
    <row r="29" spans="1:6" x14ac:dyDescent="0.35">
      <c r="A29" s="1">
        <v>43889</v>
      </c>
      <c r="B29" s="2">
        <f t="shared" ca="1" si="0"/>
        <v>4</v>
      </c>
      <c r="C29" s="2">
        <f t="shared" ca="1" si="1"/>
        <v>480</v>
      </c>
      <c r="D29" s="2">
        <f t="shared" ca="1" si="2"/>
        <v>100</v>
      </c>
      <c r="E29" s="2">
        <f t="shared" ca="1" si="3"/>
        <v>64.224000000000004</v>
      </c>
      <c r="F29" s="2">
        <f t="shared" ca="1" si="4"/>
        <v>315.77600000000001</v>
      </c>
    </row>
    <row r="30" spans="1:6" x14ac:dyDescent="0.35">
      <c r="A30" s="1">
        <v>43890</v>
      </c>
      <c r="B30" s="2">
        <f t="shared" ca="1" si="0"/>
        <v>2</v>
      </c>
      <c r="C30" s="2">
        <f t="shared" ca="1" si="1"/>
        <v>240</v>
      </c>
      <c r="D30" s="2">
        <f t="shared" ca="1" si="2"/>
        <v>50</v>
      </c>
      <c r="E30" s="2">
        <f t="shared" ca="1" si="3"/>
        <v>32.112000000000002</v>
      </c>
      <c r="F30" s="2">
        <f t="shared" ca="1" si="4"/>
        <v>157.88800000000001</v>
      </c>
    </row>
    <row r="31" spans="1:6" x14ac:dyDescent="0.35">
      <c r="A31" s="2"/>
      <c r="B31" s="2"/>
      <c r="C31" s="2"/>
      <c r="D31" s="2"/>
      <c r="E31" s="2">
        <f t="shared" si="3"/>
        <v>0</v>
      </c>
      <c r="F31" s="2">
        <f t="shared" si="4"/>
        <v>0</v>
      </c>
    </row>
    <row r="32" spans="1:6" x14ac:dyDescent="0.35">
      <c r="A32" s="2"/>
      <c r="B32" s="2"/>
      <c r="C32" s="2"/>
      <c r="D32" s="2"/>
      <c r="E32" s="2">
        <f t="shared" si="3"/>
        <v>0</v>
      </c>
      <c r="F32" s="2">
        <f t="shared" si="4"/>
        <v>0</v>
      </c>
    </row>
    <row r="33" spans="1:6" x14ac:dyDescent="0.35">
      <c r="A33" s="2"/>
      <c r="B33" s="2"/>
      <c r="C33" s="2"/>
      <c r="D33" s="2"/>
      <c r="E33" s="2"/>
      <c r="F33" s="2"/>
    </row>
    <row r="34" spans="1:6" ht="18.5" x14ac:dyDescent="0.45">
      <c r="A34" s="5" t="s">
        <v>6</v>
      </c>
      <c r="B34" s="5"/>
      <c r="C34" s="5"/>
      <c r="D34" s="5"/>
      <c r="E34" s="5"/>
      <c r="F34" s="3">
        <f ca="1">SUM(F2:F32)*0.75</f>
        <v>10006.152000000002</v>
      </c>
    </row>
  </sheetData>
  <mergeCells count="1">
    <mergeCell ref="A34:E3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34"/>
  <sheetViews>
    <sheetView tabSelected="1" workbookViewId="0">
      <pane ySplit="1" topLeftCell="A2" activePane="bottomLeft" state="frozenSplit"/>
      <selection pane="bottomLeft" activeCell="I4" sqref="I4"/>
    </sheetView>
  </sheetViews>
  <sheetFormatPr defaultRowHeight="14.5" x14ac:dyDescent="0.35"/>
  <cols>
    <col min="1" max="1" width="14.1796875" customWidth="1"/>
    <col min="2" max="2" width="16.36328125" customWidth="1"/>
    <col min="3" max="3" width="15.6328125" customWidth="1"/>
    <col min="4" max="4" width="13.7265625" customWidth="1"/>
    <col min="5" max="5" width="18" customWidth="1"/>
    <col min="6" max="6" width="17" customWidth="1"/>
    <col min="7" max="7" width="14.7265625" customWidth="1"/>
    <col min="9" max="9" width="14.6328125" customWidth="1"/>
  </cols>
  <sheetData>
    <row r="1" spans="1:6" ht="15.5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5</v>
      </c>
      <c r="F1" s="4" t="s">
        <v>4</v>
      </c>
    </row>
    <row r="2" spans="1:6" x14ac:dyDescent="0.35">
      <c r="A2" s="1">
        <v>43891</v>
      </c>
      <c r="B2" s="2">
        <v>2</v>
      </c>
      <c r="C2" s="2">
        <v>240</v>
      </c>
      <c r="D2" s="2">
        <v>50</v>
      </c>
      <c r="E2" s="2">
        <f>C2*0.1338</f>
        <v>32.112000000000002</v>
      </c>
      <c r="F2" s="2">
        <f>C2-D2-E2</f>
        <v>157.88800000000001</v>
      </c>
    </row>
    <row r="3" spans="1:6" x14ac:dyDescent="0.35">
      <c r="A3" s="1">
        <v>43892</v>
      </c>
      <c r="B3" s="2">
        <v>6</v>
      </c>
      <c r="C3" s="2">
        <v>720</v>
      </c>
      <c r="D3" s="2">
        <v>150</v>
      </c>
      <c r="E3" s="2">
        <f t="shared" ref="E3:E32" si="0">C3*0.1338</f>
        <v>96.335999999999999</v>
      </c>
      <c r="F3" s="2">
        <f t="shared" ref="F3:F32" si="1">C3-D3-E3</f>
        <v>473.66399999999999</v>
      </c>
    </row>
    <row r="4" spans="1:6" x14ac:dyDescent="0.35">
      <c r="A4" s="1">
        <v>43893</v>
      </c>
      <c r="B4" s="2">
        <v>2</v>
      </c>
      <c r="C4" s="2">
        <v>240</v>
      </c>
      <c r="D4" s="2">
        <v>50</v>
      </c>
      <c r="E4" s="2">
        <f t="shared" si="0"/>
        <v>32.112000000000002</v>
      </c>
      <c r="F4" s="2">
        <f t="shared" si="1"/>
        <v>157.88800000000001</v>
      </c>
    </row>
    <row r="5" spans="1:6" x14ac:dyDescent="0.35">
      <c r="A5" s="1">
        <v>43894</v>
      </c>
      <c r="B5" s="2">
        <v>1</v>
      </c>
      <c r="C5" s="2">
        <v>120</v>
      </c>
      <c r="D5" s="2">
        <v>25</v>
      </c>
      <c r="E5" s="2">
        <f t="shared" si="0"/>
        <v>16.056000000000001</v>
      </c>
      <c r="F5" s="2">
        <f t="shared" si="1"/>
        <v>78.944000000000003</v>
      </c>
    </row>
    <row r="6" spans="1:6" x14ac:dyDescent="0.35">
      <c r="A6" s="1">
        <v>43895</v>
      </c>
      <c r="B6" s="2">
        <v>3</v>
      </c>
      <c r="C6" s="2">
        <v>360</v>
      </c>
      <c r="D6" s="2">
        <v>75</v>
      </c>
      <c r="E6" s="2">
        <f t="shared" si="0"/>
        <v>48.167999999999999</v>
      </c>
      <c r="F6" s="2">
        <f t="shared" si="1"/>
        <v>236.83199999999999</v>
      </c>
    </row>
    <row r="7" spans="1:6" x14ac:dyDescent="0.35">
      <c r="A7" s="1">
        <v>43896</v>
      </c>
      <c r="B7" s="2">
        <v>12</v>
      </c>
      <c r="C7" s="2">
        <v>1440</v>
      </c>
      <c r="D7" s="2">
        <v>300</v>
      </c>
      <c r="E7" s="2">
        <f t="shared" si="0"/>
        <v>192.672</v>
      </c>
      <c r="F7" s="2">
        <f t="shared" si="1"/>
        <v>947.32799999999997</v>
      </c>
    </row>
    <row r="8" spans="1:6" x14ac:dyDescent="0.35">
      <c r="A8" s="1">
        <v>43897</v>
      </c>
      <c r="B8" s="2">
        <v>7</v>
      </c>
      <c r="C8" s="2">
        <v>840</v>
      </c>
      <c r="D8" s="2">
        <v>175</v>
      </c>
      <c r="E8" s="2">
        <f t="shared" si="0"/>
        <v>112.392</v>
      </c>
      <c r="F8" s="2">
        <f t="shared" si="1"/>
        <v>552.60799999999995</v>
      </c>
    </row>
    <row r="9" spans="1:6" x14ac:dyDescent="0.35">
      <c r="A9" s="1">
        <v>43898</v>
      </c>
      <c r="B9" s="2">
        <v>8</v>
      </c>
      <c r="C9" s="2">
        <v>960</v>
      </c>
      <c r="D9" s="2">
        <v>200</v>
      </c>
      <c r="E9" s="2">
        <f t="shared" si="0"/>
        <v>128.44800000000001</v>
      </c>
      <c r="F9" s="2">
        <f t="shared" si="1"/>
        <v>631.55200000000002</v>
      </c>
    </row>
    <row r="10" spans="1:6" x14ac:dyDescent="0.35">
      <c r="A10" s="1">
        <v>43899</v>
      </c>
      <c r="B10" s="2">
        <v>1</v>
      </c>
      <c r="C10" s="2">
        <v>120</v>
      </c>
      <c r="D10" s="2">
        <v>25</v>
      </c>
      <c r="E10" s="2">
        <f t="shared" si="0"/>
        <v>16.056000000000001</v>
      </c>
      <c r="F10" s="2">
        <f t="shared" si="1"/>
        <v>78.944000000000003</v>
      </c>
    </row>
    <row r="11" spans="1:6" x14ac:dyDescent="0.35">
      <c r="A11" s="1">
        <v>43900</v>
      </c>
      <c r="B11" s="2">
        <v>10</v>
      </c>
      <c r="C11" s="2">
        <v>1200</v>
      </c>
      <c r="D11" s="2">
        <v>250</v>
      </c>
      <c r="E11" s="2">
        <f t="shared" si="0"/>
        <v>160.56</v>
      </c>
      <c r="F11" s="2">
        <f t="shared" si="1"/>
        <v>789.44</v>
      </c>
    </row>
    <row r="12" spans="1:6" x14ac:dyDescent="0.35">
      <c r="A12" s="1">
        <v>43901</v>
      </c>
      <c r="B12" s="2">
        <v>2</v>
      </c>
      <c r="C12" s="2">
        <v>240</v>
      </c>
      <c r="D12" s="2">
        <v>50</v>
      </c>
      <c r="E12" s="2">
        <f t="shared" si="0"/>
        <v>32.112000000000002</v>
      </c>
      <c r="F12" s="2">
        <f t="shared" si="1"/>
        <v>157.88800000000001</v>
      </c>
    </row>
    <row r="13" spans="1:6" x14ac:dyDescent="0.35">
      <c r="A13" s="1">
        <v>43902</v>
      </c>
      <c r="B13" s="2">
        <v>1</v>
      </c>
      <c r="C13" s="2">
        <v>120</v>
      </c>
      <c r="D13" s="2">
        <v>25</v>
      </c>
      <c r="E13" s="2">
        <f t="shared" si="0"/>
        <v>16.056000000000001</v>
      </c>
      <c r="F13" s="2">
        <f t="shared" si="1"/>
        <v>78.944000000000003</v>
      </c>
    </row>
    <row r="14" spans="1:6" x14ac:dyDescent="0.35">
      <c r="A14" s="1">
        <v>43903</v>
      </c>
      <c r="B14" s="2">
        <v>2</v>
      </c>
      <c r="C14" s="2">
        <v>240</v>
      </c>
      <c r="D14" s="2">
        <v>50</v>
      </c>
      <c r="E14" s="2">
        <f t="shared" si="0"/>
        <v>32.112000000000002</v>
      </c>
      <c r="F14" s="2">
        <f t="shared" si="1"/>
        <v>157.88800000000001</v>
      </c>
    </row>
    <row r="15" spans="1:6" x14ac:dyDescent="0.35">
      <c r="A15" s="1">
        <v>43904</v>
      </c>
      <c r="B15" s="2">
        <v>11</v>
      </c>
      <c r="C15" s="2">
        <v>1320</v>
      </c>
      <c r="D15" s="2">
        <v>275</v>
      </c>
      <c r="E15" s="2">
        <f t="shared" si="0"/>
        <v>176.61600000000001</v>
      </c>
      <c r="F15" s="2">
        <f t="shared" si="1"/>
        <v>868.38400000000001</v>
      </c>
    </row>
    <row r="16" spans="1:6" x14ac:dyDescent="0.35">
      <c r="A16" s="1">
        <v>43905</v>
      </c>
      <c r="B16" s="2">
        <v>1</v>
      </c>
      <c r="C16" s="2">
        <v>120</v>
      </c>
      <c r="D16" s="2">
        <v>25</v>
      </c>
      <c r="E16" s="2">
        <f t="shared" si="0"/>
        <v>16.056000000000001</v>
      </c>
      <c r="F16" s="2">
        <f t="shared" si="1"/>
        <v>78.944000000000003</v>
      </c>
    </row>
    <row r="17" spans="1:6" x14ac:dyDescent="0.35">
      <c r="A17" s="1">
        <v>43906</v>
      </c>
      <c r="B17" s="2">
        <v>10</v>
      </c>
      <c r="C17" s="2">
        <v>1200</v>
      </c>
      <c r="D17" s="2">
        <v>250</v>
      </c>
      <c r="E17" s="2">
        <f t="shared" si="0"/>
        <v>160.56</v>
      </c>
      <c r="F17" s="2">
        <f t="shared" si="1"/>
        <v>789.44</v>
      </c>
    </row>
    <row r="18" spans="1:6" x14ac:dyDescent="0.35">
      <c r="A18" s="1">
        <v>43907</v>
      </c>
      <c r="B18" s="2">
        <v>10</v>
      </c>
      <c r="C18" s="2">
        <v>1200</v>
      </c>
      <c r="D18" s="2">
        <v>250</v>
      </c>
      <c r="E18" s="2">
        <f t="shared" si="0"/>
        <v>160.56</v>
      </c>
      <c r="F18" s="2">
        <f t="shared" si="1"/>
        <v>789.44</v>
      </c>
    </row>
    <row r="19" spans="1:6" x14ac:dyDescent="0.35">
      <c r="A19" s="1">
        <v>43908</v>
      </c>
      <c r="B19" s="2">
        <v>3</v>
      </c>
      <c r="C19" s="2">
        <v>360</v>
      </c>
      <c r="D19" s="2">
        <v>75</v>
      </c>
      <c r="E19" s="2">
        <f t="shared" si="0"/>
        <v>48.167999999999999</v>
      </c>
      <c r="F19" s="2">
        <f t="shared" si="1"/>
        <v>236.83199999999999</v>
      </c>
    </row>
    <row r="20" spans="1:6" x14ac:dyDescent="0.35">
      <c r="A20" s="1">
        <v>43909</v>
      </c>
      <c r="B20" s="2">
        <v>8</v>
      </c>
      <c r="C20" s="2">
        <v>960</v>
      </c>
      <c r="D20" s="2">
        <v>200</v>
      </c>
      <c r="E20" s="2">
        <f t="shared" si="0"/>
        <v>128.44800000000001</v>
      </c>
      <c r="F20" s="2">
        <f t="shared" si="1"/>
        <v>631.55200000000002</v>
      </c>
    </row>
    <row r="21" spans="1:6" x14ac:dyDescent="0.35">
      <c r="A21" s="1">
        <v>43910</v>
      </c>
      <c r="B21" s="2">
        <v>12</v>
      </c>
      <c r="C21" s="2">
        <v>1440</v>
      </c>
      <c r="D21" s="2">
        <v>300</v>
      </c>
      <c r="E21" s="2">
        <f t="shared" si="0"/>
        <v>192.672</v>
      </c>
      <c r="F21" s="2">
        <f t="shared" si="1"/>
        <v>947.32799999999997</v>
      </c>
    </row>
    <row r="22" spans="1:6" x14ac:dyDescent="0.35">
      <c r="A22" s="1">
        <v>43911</v>
      </c>
      <c r="B22" s="2">
        <v>9</v>
      </c>
      <c r="C22" s="2">
        <v>1080</v>
      </c>
      <c r="D22" s="2">
        <v>225</v>
      </c>
      <c r="E22" s="2">
        <f t="shared" si="0"/>
        <v>144.50399999999999</v>
      </c>
      <c r="F22" s="2">
        <f t="shared" si="1"/>
        <v>710.49599999999998</v>
      </c>
    </row>
    <row r="23" spans="1:6" x14ac:dyDescent="0.35">
      <c r="A23" s="1">
        <v>43912</v>
      </c>
      <c r="B23" s="2">
        <v>12</v>
      </c>
      <c r="C23" s="2">
        <v>1440</v>
      </c>
      <c r="D23" s="2">
        <v>300</v>
      </c>
      <c r="E23" s="2">
        <f t="shared" si="0"/>
        <v>192.672</v>
      </c>
      <c r="F23" s="2">
        <f t="shared" si="1"/>
        <v>947.32799999999997</v>
      </c>
    </row>
    <row r="24" spans="1:6" x14ac:dyDescent="0.35">
      <c r="A24" s="1">
        <v>43913</v>
      </c>
      <c r="B24" s="2">
        <v>4</v>
      </c>
      <c r="C24" s="2">
        <v>480</v>
      </c>
      <c r="D24" s="2">
        <v>100</v>
      </c>
      <c r="E24" s="2">
        <f t="shared" si="0"/>
        <v>64.224000000000004</v>
      </c>
      <c r="F24" s="2">
        <f t="shared" si="1"/>
        <v>315.77600000000001</v>
      </c>
    </row>
    <row r="25" spans="1:6" x14ac:dyDescent="0.35">
      <c r="A25" s="1">
        <v>43914</v>
      </c>
      <c r="B25" s="2">
        <v>4</v>
      </c>
      <c r="C25" s="2">
        <v>480</v>
      </c>
      <c r="D25" s="2">
        <v>100</v>
      </c>
      <c r="E25" s="2">
        <f t="shared" si="0"/>
        <v>64.224000000000004</v>
      </c>
      <c r="F25" s="2">
        <f t="shared" si="1"/>
        <v>315.77600000000001</v>
      </c>
    </row>
    <row r="26" spans="1:6" x14ac:dyDescent="0.35">
      <c r="A26" s="1">
        <v>43915</v>
      </c>
      <c r="B26" s="2">
        <v>3</v>
      </c>
      <c r="C26" s="2">
        <v>360</v>
      </c>
      <c r="D26" s="2">
        <v>75</v>
      </c>
      <c r="E26" s="2">
        <f t="shared" si="0"/>
        <v>48.167999999999999</v>
      </c>
      <c r="F26" s="2">
        <f t="shared" si="1"/>
        <v>236.83199999999999</v>
      </c>
    </row>
    <row r="27" spans="1:6" x14ac:dyDescent="0.35">
      <c r="A27" s="1">
        <v>43916</v>
      </c>
      <c r="B27" s="2">
        <v>6</v>
      </c>
      <c r="C27" s="2">
        <v>720</v>
      </c>
      <c r="D27" s="2">
        <v>150</v>
      </c>
      <c r="E27" s="2">
        <f t="shared" si="0"/>
        <v>96.335999999999999</v>
      </c>
      <c r="F27" s="2">
        <f t="shared" si="1"/>
        <v>473.66399999999999</v>
      </c>
    </row>
    <row r="28" spans="1:6" x14ac:dyDescent="0.35">
      <c r="A28" s="1">
        <v>43917</v>
      </c>
      <c r="B28" s="2">
        <v>8</v>
      </c>
      <c r="C28" s="2">
        <v>960</v>
      </c>
      <c r="D28" s="2">
        <v>200</v>
      </c>
      <c r="E28" s="2">
        <f t="shared" si="0"/>
        <v>128.44800000000001</v>
      </c>
      <c r="F28" s="2">
        <f t="shared" si="1"/>
        <v>631.55200000000002</v>
      </c>
    </row>
    <row r="29" spans="1:6" x14ac:dyDescent="0.35">
      <c r="A29" s="1">
        <v>43918</v>
      </c>
      <c r="B29" s="2">
        <v>11</v>
      </c>
      <c r="C29" s="2">
        <v>1320</v>
      </c>
      <c r="D29" s="2">
        <v>275</v>
      </c>
      <c r="E29" s="2">
        <f t="shared" si="0"/>
        <v>176.61600000000001</v>
      </c>
      <c r="F29" s="2">
        <f t="shared" si="1"/>
        <v>868.38400000000001</v>
      </c>
    </row>
    <row r="30" spans="1:6" x14ac:dyDescent="0.35">
      <c r="A30" s="1">
        <v>43919</v>
      </c>
      <c r="B30" s="2">
        <v>9</v>
      </c>
      <c r="C30" s="2">
        <v>1080</v>
      </c>
      <c r="D30" s="2">
        <v>225</v>
      </c>
      <c r="E30" s="2">
        <f t="shared" si="0"/>
        <v>144.50399999999999</v>
      </c>
      <c r="F30" s="2">
        <f t="shared" si="1"/>
        <v>710.49599999999998</v>
      </c>
    </row>
    <row r="31" spans="1:6" x14ac:dyDescent="0.35">
      <c r="A31" s="1">
        <v>43920</v>
      </c>
      <c r="B31" s="2">
        <v>9</v>
      </c>
      <c r="C31" s="2">
        <v>1080</v>
      </c>
      <c r="D31" s="2">
        <v>225</v>
      </c>
      <c r="E31" s="2">
        <f t="shared" si="0"/>
        <v>144.50399999999999</v>
      </c>
      <c r="F31" s="2">
        <f t="shared" si="1"/>
        <v>710.49599999999998</v>
      </c>
    </row>
    <row r="32" spans="1:6" x14ac:dyDescent="0.35">
      <c r="A32" s="1">
        <v>43921</v>
      </c>
      <c r="B32" s="2">
        <v>6</v>
      </c>
      <c r="C32" s="2">
        <v>720</v>
      </c>
      <c r="D32" s="2">
        <v>150</v>
      </c>
      <c r="E32" s="2">
        <f t="shared" si="0"/>
        <v>96.335999999999999</v>
      </c>
      <c r="F32" s="2">
        <f t="shared" si="1"/>
        <v>473.66399999999999</v>
      </c>
    </row>
    <row r="33" spans="1:6" x14ac:dyDescent="0.35">
      <c r="A33" s="2"/>
      <c r="B33" s="2"/>
      <c r="C33" s="2"/>
      <c r="D33" s="2"/>
      <c r="E33" s="2"/>
      <c r="F33" s="2"/>
    </row>
    <row r="34" spans="1:6" ht="18.5" x14ac:dyDescent="0.45">
      <c r="A34" s="5" t="s">
        <v>6</v>
      </c>
      <c r="B34" s="5"/>
      <c r="C34" s="5"/>
      <c r="D34" s="5"/>
      <c r="E34" s="5"/>
      <c r="F34" s="3">
        <f>SUM(F2:F32)*0.75</f>
        <v>11427.144</v>
      </c>
    </row>
  </sheetData>
  <mergeCells count="1">
    <mergeCell ref="A34:E3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Airbnb_Jan</vt:lpstr>
      <vt:lpstr>Airbnb_Feb</vt:lpstr>
      <vt:lpstr>Airbnb_Mar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supriya murty</cp:lastModifiedBy>
  <dcterms:created xsi:type="dcterms:W3CDTF">2020-04-07T16:45:40Z</dcterms:created>
  <dcterms:modified xsi:type="dcterms:W3CDTF">2020-04-15T03:21:46Z</dcterms:modified>
</cp:coreProperties>
</file>